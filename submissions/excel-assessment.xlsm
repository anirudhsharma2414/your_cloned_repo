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782\Downloads\"/>
    </mc:Choice>
  </mc:AlternateContent>
  <xr:revisionPtr revIDLastSave="0" documentId="13_ncr:1_{9344B662-4D86-4BA4-BD40-CD51ED03194F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/>
  <c r="C35" i="20"/>
  <c r="C25" i="20"/>
  <c r="C26" i="20"/>
  <c r="C24" i="20"/>
  <c r="C27" i="20"/>
  <c r="C28" i="20"/>
  <c r="C29" i="20"/>
  <c r="C30" i="20"/>
  <c r="C31" i="20"/>
  <c r="C32" i="20"/>
  <c r="C33" i="20"/>
  <c r="C34" i="20"/>
  <c r="C23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E6" i="18"/>
  <c r="D6" i="18"/>
  <c r="C6" i="18"/>
  <c r="B6" i="18"/>
  <c r="H42" i="1" l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<sst xmlns="http://schemas.openxmlformats.org/spreadsheetml/2006/main" count="405" uniqueCount="182">
  <si>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</si>
  <si>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</si>
  <si>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</si>
  <si>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</si>
  <si>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</si>
  <si>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</si>
  <si>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</si>
  <si>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</si>
  <si>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</si>
  <si>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</si>
  <si>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</si>
  <si>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</si>
  <si>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</si>
  <si>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</si>
  <si>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</si>
  <si>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</si>
  <si>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</si>
  <si>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</si>
  <si>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</si>
  <si>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</si>
  <si>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</si>
  <si>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</si>
  <si>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</si>
  <si>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</si>
  <si>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</si>
  <si>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</si>
  <si>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</si>
  <si>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</si>
  <si>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</si>
  <si>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</si>
  <si>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</si>
  <si>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</si>
  <si>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</si>
  <si>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</si>
  <si>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</si>
  <si>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</si>
  <si>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</si>
  <si>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</si>
  <si>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</si>
  <si>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</si>
  <si>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</si>
  <si>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</si>
  <si>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</si>
  <si>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</si>
  <si>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</si>
  <si>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</si>
  <si>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</si>
  <si>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</si>
  <si>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</si>
  <si>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</si>
  <si>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</si>
  <si>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</si>
  <si>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</si>
  <si>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</si>
  <si>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</si>
  <si>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</si>
  <si>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</si>
  <si>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</si>
  <si>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</si>
  <si>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</si>
  <si>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</si>
  <si>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</si>
  <si>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</si>
  <si>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</si>
  <si>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</si>
  <si>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</si>
  <si>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</si>
  <si>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</si>
  <si>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</si>
  <si>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</si>
  <si>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</si>
  <si>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</si>
  <si>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</si>
  <si>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</si>
  <si>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</si>
  <si>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</si>
  <si>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</si>
  <si>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</si>
  <si>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</si>
  <si>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</si>
  <si>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</si>
  <si>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</si>
  <si>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</si>
  <si>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</si>
  <si>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</si>
  <si>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</si>
  <si>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</si>
  <si>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</si>
  <si>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</si>
  <si>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</si>
  <si>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</si>
  <si>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</si>
  <si>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</si>
  <si>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</si>
  <si>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</si>
  <si>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</si>
  <si>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</si>
  <si>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</si>
  <si>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</si>
  <si>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</si>
  <si>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</si>
  <si>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</si>
  <si>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</si>
  <si>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</si>
  <si>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</si>
  <si>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</si>
  <si>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</si>
  <si>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</si>
  <si>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</si>
  <si>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</si>
  <si>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</si>
  <si>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</si>
  <si>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</si>
  <si>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</si>
  <si>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</si>
  <si>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</si>
  <si>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</si>
  <si>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</si>
  <si>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</si>
  <si>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</si>
  <si>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</si>
  <si>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</si>
  <si>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</si>
  <si>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</si>
  <si>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</si>
  <si>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</si>
  <si>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</si>
  <si>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</si>
  <si>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</si>
  <si>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</si>
  <si>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</si>
  <si>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</si>
  <si>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</si>
  <si>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</si>
  <si>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</si>
  <si>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</si>
  <si>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</si>
  <si>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</si>
  <si>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</si>
  <si>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</si>
  <si>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</si>
  <si>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</si>
  <si>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</si>
  <si>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</si>
  <si>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</si>
  <si>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</si>
  <si>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</si>
  <si>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</si>
  <si>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</si>
  <si>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</si>
  <si>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</si>
  <si>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</si>
  <si>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</si>
  <si>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</si>
  <si>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</si>
  <si>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</si>
  <si>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</si>
  <si>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</si>
  <si>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</si>
  <si>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</si>
  <si>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</si>
  <si>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</si>
  <si>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</si>
  <si>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</si>
  <si>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</si>
  <si>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</si>
  <si>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</si>
  <si>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</si>
  <si>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</si>
  <si>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</si>
  <si>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</si>
  <si>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</si>
  <si>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</si>
  <si>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</si>
  <si>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</si>
  <si>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</si>
  <si>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</si>
  <si>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</si>
  <si>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Text to coloumn functionality</t>
  </si>
  <si>
    <t>With Excel's Text to columns tool you may devide data from a single column into several columns according to a defined width or a specified delimiter (hyphen-, comma-, space, etc.).</t>
  </si>
  <si>
    <t>INDEX($B$9:$J$18, MATCH(VLOOKUP(A35, $M$9:$N$18, 2, FALSE), $A$10:$A$18, 0), MATCH(VLOOKUP(B35, $M$9:$N$18, 2, FALSE), $B$9:$J$9, 0))</t>
  </si>
  <si>
    <t>The formula essentially performs a two-dimensional lookup:
It finds the row in Table_A corresponding to name_1 and the column corresponding to name_2 based on the mappings in Table_B.
It then retrieves the value at the intersection of that row and column in Table_A.
This approach ensures that the correct value from Table_A is filled into the "Value" column of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</si>
</sst>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wrapText="1"/>
    </xf>
    <xf numFmtId="0" fontId="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36" activePane="bottomLeft" state="frozen"/>
      <selection pane="bottomLeft" activeCell="H42" sqref="H42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3" bestFit="1" customWidth="1"/>
    <col min="5" max="5" width="10" style="1" bestFit="1" customWidth="1"/>
    <col min="6" max="6" width="11.1640625" style="23" bestFit="1" customWidth="1"/>
    <col min="7" max="9" width="5.83203125" style="1" bestFit="1" customWidth="1"/>
    <col min="10" max="12" width="7.83203125" style="1" bestFit="1" customWidth="1"/>
    <col min="13" max="15" width="7" style="1" bestFit="1" customWidth="1"/>
    <col min="16" max="18" width="5.83203125" style="1" bestFit="1" customWidth="1"/>
    <col min="19" max="20" width="7.5" style="1" bestFit="1" customWidth="1"/>
    <col min="21" max="23" width="6.1640625" style="1" bestFit="1" customWidth="1"/>
    <col min="24" max="24" width="12.16406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25">
      <c r="H42" s="1">
        <f>SUMIF(H2:H40,"&gt;20")</f>
        <v>1473.0000000000002</v>
      </c>
    </row>
  </sheetData>
  <conditionalFormatting sqref="A1:A1048576">
    <cfRule type="duplicateValues" dxfId="3" priority="6"/>
  </conditionalFormatting>
  <conditionalFormatting sqref="B1:B1048576">
    <cfRule type="duplicateValues" dxfId="2" priority="5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30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D30" sqref="D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VLOOKUP($A6,Dataset!$A$1:$X$40,7,FALSE)</f>
        <v>2.7</v>
      </c>
      <c r="C6" s="11">
        <f>VLOOKUP($A6,Dataset!$A$1:$X$40,14,FALSE)</f>
        <v>7.6</v>
      </c>
      <c r="D6" s="11">
        <f>VLOOKUP($A6,Dataset!$A$1:$X$40,16,FALSE)</f>
        <v>2.7</v>
      </c>
      <c r="E6" s="11">
        <f>VLOOKUP($A6,Dataset!$A$1:$X$40,20,FALSE)</f>
        <v>8.9</v>
      </c>
      <c r="F6" s="11">
        <f>VLOOKUP($A6,Dataset!$A$1:$X$40,23,FALSE)</f>
        <v>4.2</v>
      </c>
    </row>
    <row r="7" spans="1:7" ht="15" x14ac:dyDescent="0.25">
      <c r="A7" s="7" t="s">
        <v>4</v>
      </c>
      <c r="B7" s="11">
        <f>VLOOKUP($A7,Dataset!$A$1:$X$40,7,FALSE)</f>
        <v>2.7</v>
      </c>
      <c r="C7" s="11">
        <f>VLOOKUP($A7,Dataset!$A$1:$X$40,14,FALSE)</f>
        <v>7.6</v>
      </c>
      <c r="D7" s="11">
        <f>VLOOKUP($A7,Dataset!$A$1:$X$40,16,FALSE)</f>
        <v>2.7</v>
      </c>
      <c r="E7" s="11">
        <f>VLOOKUP($A7,Dataset!$A$1:$X$40,20,FALSE)</f>
        <v>8.9</v>
      </c>
      <c r="F7" s="11">
        <f>VLOOKUP($A7,Dataset!$A$1:$X$40,23,FALSE)</f>
        <v>4.2</v>
      </c>
    </row>
    <row r="8" spans="1:7" ht="15" x14ac:dyDescent="0.25">
      <c r="A8" s="7" t="s">
        <v>7</v>
      </c>
      <c r="B8" s="11">
        <f>VLOOKUP($A8,Dataset!$A$1:$X$40,7,FALSE)</f>
        <v>3.6</v>
      </c>
      <c r="C8" s="11">
        <f>VLOOKUP($A8,Dataset!$A$1:$X$40,14,FALSE)</f>
        <v>11.1</v>
      </c>
      <c r="D8" s="11">
        <f>VLOOKUP($A8,Dataset!$A$1:$X$40,16,FALSE)</f>
        <v>3.6</v>
      </c>
      <c r="E8" s="11">
        <f>VLOOKUP($A8,Dataset!$A$1:$X$40,20,FALSE)</f>
        <v>12.2</v>
      </c>
      <c r="F8" s="11">
        <f>VLOOKUP($A8,Dataset!$A$1:$X$40,23,FALSE)</f>
        <v>5.8</v>
      </c>
    </row>
    <row r="9" spans="1:7" ht="15" x14ac:dyDescent="0.25">
      <c r="A9" s="7" t="s">
        <v>8</v>
      </c>
      <c r="B9" s="11">
        <f>VLOOKUP($A9,Dataset!$A$1:$X$40,7,FALSE)</f>
        <v>4.9000000000000004</v>
      </c>
      <c r="C9" s="11">
        <f>VLOOKUP($A9,Dataset!$A$1:$X$40,14,FALSE)</f>
        <v>13.3</v>
      </c>
      <c r="D9" s="11">
        <f>VLOOKUP($A9,Dataset!$A$1:$X$40,16,FALSE)</f>
        <v>4.9000000000000004</v>
      </c>
      <c r="E9" s="11">
        <f>VLOOKUP($A9,Dataset!$A$1:$X$40,20,FALSE)</f>
        <v>17</v>
      </c>
      <c r="F9" s="11">
        <f>VLOOKUP($A9,Dataset!$A$1:$X$40,23,FALSE)</f>
        <v>8.1</v>
      </c>
    </row>
    <row r="10" spans="1:7" ht="15" x14ac:dyDescent="0.25">
      <c r="A10" s="7" t="s">
        <v>11</v>
      </c>
      <c r="B10" s="11">
        <f>VLOOKUP($A10,Dataset!$A$1:$X$40,7,FALSE)</f>
        <v>9.4</v>
      </c>
      <c r="C10" s="11">
        <f>VLOOKUP($A10,Dataset!$A$1:$X$40,14,FALSE)</f>
        <v>28.3</v>
      </c>
      <c r="D10" s="11">
        <f>VLOOKUP($A10,Dataset!$A$1:$X$40,16,FALSE)</f>
        <v>9.4</v>
      </c>
      <c r="E10" s="11">
        <f>VLOOKUP($A10,Dataset!$A$1:$X$40,20,FALSE)</f>
        <v>32.799999999999997</v>
      </c>
      <c r="F10" s="11">
        <f>VLOOKUP($A10,Dataset!$A$1:$X$40,23,FALSE)</f>
        <v>16.100000000000001</v>
      </c>
    </row>
    <row r="11" spans="1:7" ht="15" x14ac:dyDescent="0.25">
      <c r="A11" s="7" t="s">
        <v>12</v>
      </c>
      <c r="B11" s="11">
        <f>VLOOKUP($A11,Dataset!$A$1:$X$40,7,FALSE)</f>
        <v>11.6</v>
      </c>
      <c r="C11" s="11">
        <f>VLOOKUP($A11,Dataset!$A$1:$X$40,14,FALSE)</f>
        <v>35.200000000000003</v>
      </c>
      <c r="D11" s="11">
        <f>VLOOKUP($A11,Dataset!$A$1:$X$40,16,FALSE)</f>
        <v>11.6</v>
      </c>
      <c r="E11" s="11">
        <f>VLOOKUP($A11,Dataset!$A$1:$X$40,20,FALSE)</f>
        <v>43</v>
      </c>
      <c r="F11" s="11">
        <f>VLOOKUP($A11,Dataset!$A$1:$X$40,23,FALSE)</f>
        <v>21.3</v>
      </c>
    </row>
    <row r="12" spans="1:7" ht="15" x14ac:dyDescent="0.25">
      <c r="A12" s="7" t="s">
        <v>14</v>
      </c>
      <c r="B12" s="11">
        <f>VLOOKUP($A12,Dataset!$A$1:$X$40,7,FALSE)</f>
        <v>18.399999999999999</v>
      </c>
      <c r="C12" s="11">
        <f>VLOOKUP($A12,Dataset!$A$1:$X$40,14,FALSE)</f>
        <v>55.6</v>
      </c>
      <c r="D12" s="11">
        <f>VLOOKUP($A12,Dataset!$A$1:$X$40,16,FALSE)</f>
        <v>18.399999999999999</v>
      </c>
      <c r="E12" s="11">
        <f>VLOOKUP($A12,Dataset!$A$1:$X$40,20,FALSE)</f>
        <v>67.900000000000006</v>
      </c>
      <c r="F12" s="11">
        <f>VLOOKUP($A12,Dataset!$A$1:$X$40,23,FALSE)</f>
        <v>33.799999999999997</v>
      </c>
    </row>
    <row r="13" spans="1:7" ht="15" x14ac:dyDescent="0.25">
      <c r="A13" s="7" t="s">
        <v>15</v>
      </c>
      <c r="B13" s="11">
        <f>VLOOKUP($A13,Dataset!$A$1:$X$40,7,FALSE)</f>
        <v>0</v>
      </c>
      <c r="C13" s="11">
        <f>VLOOKUP($A13,Dataset!$A$1:$X$40,14,FALSE)</f>
        <v>0</v>
      </c>
      <c r="D13" s="11">
        <f>VLOOKUP($A13,Dataset!$A$1:$X$40,16,FALSE)</f>
        <v>0</v>
      </c>
      <c r="E13" s="11">
        <f>VLOOKUP($A13,Dataset!$A$1:$X$40,20,FALSE)</f>
        <v>0</v>
      </c>
      <c r="F13" s="11">
        <f>VLOOKUP($A13,Dataset!$A$1:$X$40,23,FALSE)</f>
        <v>0</v>
      </c>
    </row>
    <row r="14" spans="1:7" ht="15" x14ac:dyDescent="0.25">
      <c r="A14" s="7" t="s">
        <v>16</v>
      </c>
      <c r="B14" s="11">
        <f>VLOOKUP($A14,Dataset!$A$1:$X$40,7,FALSE)</f>
        <v>21.9</v>
      </c>
      <c r="C14" s="11">
        <f>VLOOKUP($A14,Dataset!$A$1:$X$40,14,FALSE)</f>
        <v>61.5</v>
      </c>
      <c r="D14" s="11">
        <f>VLOOKUP($A14,Dataset!$A$1:$X$40,16,FALSE)</f>
        <v>21.9</v>
      </c>
      <c r="E14" s="11">
        <f>VLOOKUP($A14,Dataset!$A$1:$X$40,20,FALSE)</f>
        <v>76.599999999999994</v>
      </c>
      <c r="F14" s="11">
        <f>VLOOKUP($A14,Dataset!$A$1:$X$40,23,FALSE)</f>
        <v>40.1</v>
      </c>
    </row>
    <row r="15" spans="1:7" ht="15" x14ac:dyDescent="0.25">
      <c r="A15" s="7" t="s">
        <v>18</v>
      </c>
      <c r="B15" s="11">
        <f>VLOOKUP($A15,Dataset!$A$1:$X$40,7,FALSE)</f>
        <v>26.8</v>
      </c>
      <c r="C15" s="11">
        <f>VLOOKUP($A15,Dataset!$A$1:$X$40,14,FALSE)</f>
        <v>79.599999999999994</v>
      </c>
      <c r="D15" s="11">
        <f>VLOOKUP($A15,Dataset!$A$1:$X$40,16,FALSE)</f>
        <v>26.8</v>
      </c>
      <c r="E15" s="11">
        <f>VLOOKUP($A15,Dataset!$A$1:$X$40,20,FALSE)</f>
        <v>96.8</v>
      </c>
      <c r="F15" s="11">
        <f>VLOOKUP($A15,Dataset!$A$1:$X$40,23,FALSE)</f>
        <v>47.9</v>
      </c>
    </row>
    <row r="16" spans="1:7" ht="15" x14ac:dyDescent="0.25">
      <c r="A16" s="7" t="s">
        <v>20</v>
      </c>
      <c r="B16" s="11">
        <f>VLOOKUP($A16,Dataset!$A$1:$X$40,7,FALSE)</f>
        <v>28.5</v>
      </c>
      <c r="C16" s="11">
        <f>VLOOKUP($A16,Dataset!$A$1:$X$40,14,FALSE)</f>
        <v>85.4</v>
      </c>
      <c r="D16" s="11">
        <f>VLOOKUP($A16,Dataset!$A$1:$X$40,16,FALSE)</f>
        <v>28.5</v>
      </c>
      <c r="E16" s="11">
        <f>VLOOKUP($A16,Dataset!$A$1:$X$40,20,FALSE)</f>
        <v>106.1</v>
      </c>
      <c r="F16" s="11">
        <f>VLOOKUP($A16,Dataset!$A$1:$X$40,23,FALSE)</f>
        <v>52.3</v>
      </c>
    </row>
    <row r="17" spans="1:6" ht="15" x14ac:dyDescent="0.25">
      <c r="A17" s="7" t="s">
        <v>22</v>
      </c>
      <c r="B17" s="11">
        <f>VLOOKUP($A17,Dataset!$A$1:$X$40,7,FALSE)</f>
        <v>30.7</v>
      </c>
      <c r="C17" s="11">
        <f>VLOOKUP($A17,Dataset!$A$1:$X$40,14,FALSE)</f>
        <v>92.1</v>
      </c>
      <c r="D17" s="11">
        <f>VLOOKUP($A17,Dataset!$A$1:$X$40,16,FALSE)</f>
        <v>30.7</v>
      </c>
      <c r="E17" s="11">
        <f>VLOOKUP($A17,Dataset!$A$1:$X$40,20,FALSE)</f>
        <v>115.1</v>
      </c>
      <c r="F17" s="11">
        <f>VLOOKUP($A17,Dataset!$A$1:$X$40,23,FALSE)</f>
        <v>57</v>
      </c>
    </row>
    <row r="18" spans="1:6" ht="15" x14ac:dyDescent="0.25">
      <c r="A18" s="7" t="s">
        <v>23</v>
      </c>
      <c r="B18" s="11">
        <f>VLOOKUP($A18,Dataset!$A$1:$X$40,7,FALSE)</f>
        <v>33.799999999999997</v>
      </c>
      <c r="C18" s="11">
        <f>VLOOKUP($A18,Dataset!$A$1:$X$40,14,FALSE)</f>
        <v>101.3</v>
      </c>
      <c r="D18" s="11">
        <f>VLOOKUP($A18,Dataset!$A$1:$X$40,16,FALSE)</f>
        <v>33.799999999999997</v>
      </c>
      <c r="E18" s="11">
        <f>VLOOKUP($A18,Dataset!$A$1:$X$40,20,FALSE)</f>
        <v>124.4</v>
      </c>
      <c r="F18" s="11">
        <f>VLOOKUP($A18,Dataset!$A$1:$X$40,23,FALSE)</f>
        <v>61.4</v>
      </c>
    </row>
    <row r="19" spans="1:6" ht="15" x14ac:dyDescent="0.25">
      <c r="A19" s="7" t="s">
        <v>24</v>
      </c>
      <c r="B19" s="11">
        <f>VLOOKUP($A19,Dataset!$A$1:$X$40,7,FALSE)</f>
        <v>34.700000000000003</v>
      </c>
      <c r="C19" s="11">
        <f>VLOOKUP($A19,Dataset!$A$1:$X$40,14,FALSE)</f>
        <v>106.1</v>
      </c>
      <c r="D19" s="11">
        <f>VLOOKUP($A19,Dataset!$A$1:$X$40,16,FALSE)</f>
        <v>34.700000000000003</v>
      </c>
      <c r="E19" s="11">
        <f>VLOOKUP($A19,Dataset!$A$1:$X$40,20,FALSE)</f>
        <v>128.6</v>
      </c>
      <c r="F19" s="11">
        <f>VLOOKUP($A19,Dataset!$A$1:$X$40,23,FALSE)</f>
        <v>63.6</v>
      </c>
    </row>
    <row r="20" spans="1:6" ht="15" x14ac:dyDescent="0.25">
      <c r="A20" s="7" t="s">
        <v>28</v>
      </c>
      <c r="B20" s="11">
        <f>VLOOKUP($A20,Dataset!$A$1:$X$40,7,FALSE)</f>
        <v>0</v>
      </c>
      <c r="C20" s="11">
        <f>VLOOKUP($A20,Dataset!$A$1:$X$40,14,FALSE)</f>
        <v>0</v>
      </c>
      <c r="D20" s="11">
        <f>VLOOKUP($A20,Dataset!$A$1:$X$40,16,FALSE)</f>
        <v>0</v>
      </c>
      <c r="E20" s="11">
        <f>VLOOKUP($A20,Dataset!$A$1:$X$40,20,FALSE)</f>
        <v>0</v>
      </c>
      <c r="F20" s="11">
        <f>VLOOKUP($A20,Dataset!$A$1:$X$40,23,FALSE)</f>
        <v>0</v>
      </c>
    </row>
    <row r="21" spans="1:6" ht="15" x14ac:dyDescent="0.25">
      <c r="A21" s="7" t="s">
        <v>57</v>
      </c>
      <c r="B21" s="11">
        <f>VLOOKUP($A21,Dataset!$A$1:$X$40,7,FALSE)</f>
        <v>41.3</v>
      </c>
      <c r="C21" s="11">
        <f>VLOOKUP($A21,Dataset!$A$1:$X$40,14,FALSE)</f>
        <v>124.4</v>
      </c>
      <c r="D21" s="11">
        <f>VLOOKUP($A21,Dataset!$A$1:$X$40,16,FALSE)</f>
        <v>41.3</v>
      </c>
      <c r="E21" s="11">
        <f>VLOOKUP($A21,Dataset!$A$1:$X$40,20,FALSE)</f>
        <v>151.5</v>
      </c>
      <c r="F21" s="11">
        <f>VLOOKUP($A21,Dataset!$A$1:$X$40,23,FALSE)</f>
        <v>75</v>
      </c>
    </row>
    <row r="22" spans="1:6" ht="15" x14ac:dyDescent="0.25">
      <c r="A22" s="7" t="s">
        <v>58</v>
      </c>
      <c r="B22" s="11">
        <f>VLOOKUP($A22,Dataset!$A$1:$X$40,7,FALSE)</f>
        <v>-1</v>
      </c>
      <c r="C22" s="11">
        <f>VLOOKUP($A22,Dataset!$A$1:$X$40,14,FALSE)</f>
        <v>-1</v>
      </c>
      <c r="D22" s="11">
        <f>VLOOKUP($A22,Dataset!$A$1:$X$40,16,FALSE)</f>
        <v>-1</v>
      </c>
      <c r="E22" s="11">
        <f>VLOOKUP($A22,Dataset!$A$1:$X$40,20,FALSE)</f>
        <v>-1</v>
      </c>
      <c r="F22" s="11">
        <f>VLOOKUP($A22,Dataset!$A$1:$X$40,23,FALSE)</f>
        <v>-1</v>
      </c>
    </row>
    <row r="23" spans="1:6" ht="15" x14ac:dyDescent="0.25">
      <c r="A23" s="7" t="s">
        <v>31</v>
      </c>
      <c r="B23" s="11">
        <f>VLOOKUP($A23,Dataset!$A$1:$X$40,7,FALSE)</f>
        <v>45</v>
      </c>
      <c r="C23" s="11">
        <f>VLOOKUP($A23,Dataset!$A$1:$X$40,14,FALSE)</f>
        <v>133.4</v>
      </c>
      <c r="D23" s="11">
        <f>VLOOKUP($A23,Dataset!$A$1:$X$40,16,FALSE)</f>
        <v>45</v>
      </c>
      <c r="E23" s="11">
        <f>VLOOKUP($A23,Dataset!$A$1:$X$40,20,FALSE)</f>
        <v>160.9</v>
      </c>
      <c r="F23" s="11">
        <f>VLOOKUP($A23,Dataset!$A$1:$X$40,23,FALSE)</f>
        <v>79.400000000000006</v>
      </c>
    </row>
    <row r="24" spans="1:6" ht="15" x14ac:dyDescent="0.25">
      <c r="A24" s="7" t="s">
        <v>32</v>
      </c>
      <c r="B24" s="11">
        <f>VLOOKUP($A24,Dataset!$A$1:$X$40,7,FALSE)</f>
        <v>-1</v>
      </c>
      <c r="C24" s="11">
        <f>VLOOKUP($A24,Dataset!$A$1:$X$40,14,FALSE)</f>
        <v>-1</v>
      </c>
      <c r="D24" s="11">
        <f>VLOOKUP($A24,Dataset!$A$1:$X$40,16,FALSE)</f>
        <v>-1</v>
      </c>
      <c r="E24" s="11">
        <f>VLOOKUP($A24,Dataset!$A$1:$X$40,20,FALSE)</f>
        <v>-1</v>
      </c>
      <c r="F24" s="11">
        <f>VLOOKUP($A24,Dataset!$A$1:$X$40,23,FALSE)</f>
        <v>-1</v>
      </c>
    </row>
    <row r="25" spans="1:6" ht="15" x14ac:dyDescent="0.25">
      <c r="A25" s="7" t="s">
        <v>34</v>
      </c>
      <c r="B25" s="11">
        <f>VLOOKUP($A25,Dataset!$A$1:$X$40,7,FALSE)</f>
        <v>43.3</v>
      </c>
      <c r="C25" s="11">
        <f>VLOOKUP($A25,Dataset!$A$1:$X$40,14,FALSE)</f>
        <v>128.6</v>
      </c>
      <c r="D25" s="11">
        <f>VLOOKUP($A25,Dataset!$A$1:$X$40,16,FALSE)</f>
        <v>43.3</v>
      </c>
      <c r="E25" s="11">
        <f>VLOOKUP($A25,Dataset!$A$1:$X$40,20,FALSE)</f>
        <v>160.9</v>
      </c>
      <c r="F25" s="11">
        <f>VLOOKUP($A25,Dataset!$A$1:$X$40,23,FALSE)</f>
        <v>79.400000000000006</v>
      </c>
    </row>
    <row r="26" spans="1:6" ht="15" x14ac:dyDescent="0.25">
      <c r="A26" s="7" t="s">
        <v>37</v>
      </c>
      <c r="B26" s="11">
        <f>VLOOKUP($A26,Dataset!$A$1:$X$40,7,FALSE)</f>
        <v>49.1</v>
      </c>
      <c r="C26" s="11">
        <f>VLOOKUP($A26,Dataset!$A$1:$X$40,14,FALSE)</f>
        <v>146.80000000000001</v>
      </c>
      <c r="D26" s="11">
        <f>VLOOKUP($A26,Dataset!$A$1:$X$40,16,FALSE)</f>
        <v>49.1</v>
      </c>
      <c r="E26" s="11">
        <f>VLOOKUP($A26,Dataset!$A$1:$X$40,20,FALSE)</f>
        <v>183.5</v>
      </c>
      <c r="F26" s="11">
        <f>VLOOKUP($A26,Dataset!$A$1:$X$40,23,FALSE)</f>
        <v>90.9</v>
      </c>
    </row>
    <row r="27" spans="1:6" ht="15" x14ac:dyDescent="0.25">
      <c r="A27" s="7" t="s">
        <v>39</v>
      </c>
      <c r="B27" s="11">
        <f>VLOOKUP($A27,Dataset!$A$1:$X$40,7,FALSE)</f>
        <v>51.8</v>
      </c>
      <c r="C27" s="11">
        <f>VLOOKUP($A27,Dataset!$A$1:$X$40,14,FALSE)</f>
        <v>156.4</v>
      </c>
      <c r="D27" s="11">
        <f>VLOOKUP($A27,Dataset!$A$1:$X$40,16,FALSE)</f>
        <v>51.8</v>
      </c>
      <c r="E27" s="11">
        <f>VLOOKUP($A27,Dataset!$A$1:$X$40,20,FALSE)</f>
        <v>188.1</v>
      </c>
      <c r="F27" s="11">
        <f>VLOOKUP($A27,Dataset!$A$1:$X$40,23,FALSE)</f>
        <v>93.1</v>
      </c>
    </row>
    <row r="28" spans="1:6" ht="15" x14ac:dyDescent="0.25">
      <c r="A28" s="18" t="s">
        <v>82</v>
      </c>
      <c r="B28" s="30">
        <f>MIN(B$6:B$27)</f>
        <v>-1</v>
      </c>
      <c r="C28" s="30">
        <f>MIN(C$6:C$27)</f>
        <v>-1</v>
      </c>
      <c r="D28" s="30">
        <f t="shared" ref="D28:F28" si="0">MIN(D$6:D$27)</f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51.8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20.827272727272728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9" zoomScaleNormal="100" workbookViewId="0">
      <selection activeCell="B7" sqref="B7"/>
    </sheetView>
  </sheetViews>
  <sheetFormatPr defaultColWidth="11" defaultRowHeight="15" x14ac:dyDescent="0.25"/>
  <cols>
    <col min="1" max="1" width="39.83203125" style="1" customWidth="1"/>
    <col min="2" max="2" width="11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178</v>
      </c>
    </row>
    <row r="6" spans="1:10" ht="18.75" x14ac:dyDescent="0.3">
      <c r="A6" s="42" t="s">
        <v>152</v>
      </c>
      <c r="B6" s="39" t="s">
        <v>179</v>
      </c>
    </row>
    <row r="7" spans="1:10" ht="18.75" x14ac:dyDescent="0.3">
      <c r="A7" s="42"/>
      <c r="B7" s="39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98" zoomScaleNormal="98" workbookViewId="0">
      <selection activeCell="F20" sqref="F2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152</v>
      </c>
      <c r="B7" s="1"/>
    </row>
    <row r="10" spans="1:3" ht="23.25" x14ac:dyDescent="0.35">
      <c r="A10" s="17" t="s">
        <v>161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>
        <v>20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>
        <v>20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153</v>
      </c>
      <c r="C17" s="16">
        <v>150</v>
      </c>
    </row>
    <row r="18" spans="1:3" ht="15" x14ac:dyDescent="0.25">
      <c r="A18" s="31">
        <v>44933</v>
      </c>
      <c r="B18" s="16" t="s">
        <v>154</v>
      </c>
      <c r="C18" s="16">
        <v>80</v>
      </c>
    </row>
    <row r="19" spans="1:3" ht="15" x14ac:dyDescent="0.25">
      <c r="A19" s="31">
        <v>44934</v>
      </c>
      <c r="B19" s="16" t="s">
        <v>155</v>
      </c>
      <c r="C19" s="16">
        <v>20</v>
      </c>
    </row>
    <row r="20" spans="1:3" ht="15" x14ac:dyDescent="0.25">
      <c r="A20" s="31">
        <v>44935</v>
      </c>
      <c r="B20" s="16" t="s">
        <v>156</v>
      </c>
      <c r="C20" s="16">
        <v>30</v>
      </c>
    </row>
    <row r="21" spans="1:3" ht="15" x14ac:dyDescent="0.25">
      <c r="A21" s="31">
        <v>44936</v>
      </c>
      <c r="B21" s="16" t="s">
        <v>157</v>
      </c>
      <c r="C21" s="16">
        <v>20</v>
      </c>
    </row>
    <row r="22" spans="1:3" ht="15" x14ac:dyDescent="0.25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S35"/>
  <sheetViews>
    <sheetView tabSelected="1" zoomScale="87" zoomScaleNormal="62" workbookViewId="0">
      <selection activeCell="B5" sqref="B5:S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9" ht="21" x14ac:dyDescent="0.35">
      <c r="A1" s="41" t="s">
        <v>98</v>
      </c>
      <c r="B1" s="40" t="s">
        <v>174</v>
      </c>
    </row>
    <row r="3" spans="1:19" ht="15" x14ac:dyDescent="0.25">
      <c r="B3" s="1" t="s">
        <v>150</v>
      </c>
    </row>
    <row r="4" spans="1:19" ht="18.75" x14ac:dyDescent="0.3">
      <c r="A4" s="42" t="s">
        <v>53</v>
      </c>
      <c r="B4" s="1"/>
      <c r="C4" s="2" t="s">
        <v>180</v>
      </c>
    </row>
    <row r="5" spans="1:19" ht="42.75" customHeight="1" x14ac:dyDescent="0.3">
      <c r="A5" s="42" t="s">
        <v>152</v>
      </c>
      <c r="B5" s="47" t="s">
        <v>181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</row>
    <row r="6" spans="1:19" ht="15" x14ac:dyDescent="0.25">
      <c r="A6" s="3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</row>
    <row r="7" spans="1:19" x14ac:dyDescent="0.2"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</row>
    <row r="8" spans="1:19" ht="23.25" x14ac:dyDescent="0.35">
      <c r="A8" s="17" t="s">
        <v>161</v>
      </c>
      <c r="M8" s="17" t="s">
        <v>162</v>
      </c>
    </row>
    <row r="9" spans="1:19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9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9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9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9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9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9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9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 t="str">
        <f>INDEX($B$9:$J$18, MATCH(VLOOKUP(A23, $M$9:$N$18, 2, FALSE), $A$10:$A$18, 0), MATCH(VLOOKUP(B23, $M$9:$N$18, 2, FALSE), $B$9:$J$9, 0))</f>
        <v>B</v>
      </c>
    </row>
    <row r="24" spans="1:14" ht="15" x14ac:dyDescent="0.25">
      <c r="A24" s="7">
        <v>10100</v>
      </c>
      <c r="B24" s="11">
        <v>10104</v>
      </c>
      <c r="C24" s="43" t="str">
        <f t="shared" ref="C24:C35" si="0">INDEX($B$9:$J$18, MATCH(VLOOKUP(A24, $M$9:$N$18, 2, FALSE), $A$10:$A$18, 0), MATCH(VLOOKUP(B24, $M$9:$N$18, 2, FALSE), $B$9:$J$9, 0))</f>
        <v>C</v>
      </c>
    </row>
    <row r="25" spans="1:14" ht="15" x14ac:dyDescent="0.25">
      <c r="A25" s="7">
        <v>10108</v>
      </c>
      <c r="B25" s="11">
        <v>10102</v>
      </c>
      <c r="C25" s="43">
        <f>INDEX($B$9:$J$18, MATCH(VLOOKUP(A25, $M$9:$N$18, 2, FALSE), $A$10:$A$18, 0), MATCH(VLOOKUP(B25, $M$9:$N$18, 2, FALSE), $B$9:$J$9, 0))</f>
        <v>90</v>
      </c>
    </row>
    <row r="26" spans="1:14" ht="15" x14ac:dyDescent="0.25">
      <c r="A26" s="7">
        <v>10100</v>
      </c>
      <c r="B26" s="11">
        <v>10106</v>
      </c>
      <c r="C26" s="43" t="str">
        <f>INDEX($B$9:$J$18, MATCH(VLOOKUP(A26, $M$9:$N$18, 2, FALSE), $A$10:$A$18, 0), MATCH(VLOOKUP(B26, $M$9:$N$18, 2, FALSE), $B$9:$J$9, 0))</f>
        <v>D</v>
      </c>
    </row>
    <row r="27" spans="1:14" ht="15" x14ac:dyDescent="0.25">
      <c r="A27" s="7">
        <v>10108</v>
      </c>
      <c r="B27" s="11">
        <v>10110</v>
      </c>
      <c r="C27" s="43">
        <f t="shared" si="0"/>
        <v>120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130</v>
      </c>
    </row>
    <row r="30" spans="1:14" ht="15" x14ac:dyDescent="0.25">
      <c r="A30" s="7">
        <v>10102</v>
      </c>
      <c r="B30" s="11">
        <v>10106</v>
      </c>
      <c r="C30" s="43">
        <f t="shared" si="0"/>
        <v>185</v>
      </c>
    </row>
    <row r="31" spans="1:14" ht="15" x14ac:dyDescent="0.25">
      <c r="A31" s="7">
        <v>10110</v>
      </c>
      <c r="B31" s="11">
        <v>10114</v>
      </c>
      <c r="C31" s="43">
        <f t="shared" si="0"/>
        <v>230</v>
      </c>
    </row>
    <row r="32" spans="1:14" ht="15" x14ac:dyDescent="0.25">
      <c r="A32" s="7">
        <v>10104</v>
      </c>
      <c r="B32" s="11">
        <v>10106</v>
      </c>
      <c r="C32" s="43">
        <f t="shared" si="0"/>
        <v>90</v>
      </c>
    </row>
    <row r="33" spans="1:3" ht="15" x14ac:dyDescent="0.25">
      <c r="A33" s="7">
        <v>10110</v>
      </c>
      <c r="B33" s="11">
        <v>10112</v>
      </c>
      <c r="C33" s="43">
        <f t="shared" si="0"/>
        <v>165</v>
      </c>
    </row>
    <row r="34" spans="1:3" ht="15" x14ac:dyDescent="0.25">
      <c r="A34" s="7">
        <v>10100</v>
      </c>
      <c r="B34" s="11">
        <v>10114</v>
      </c>
      <c r="C34" s="43" t="str">
        <f t="shared" si="0"/>
        <v>H</v>
      </c>
    </row>
    <row r="35" spans="1:3" ht="15" x14ac:dyDescent="0.25">
      <c r="A35" s="8">
        <v>10112</v>
      </c>
      <c r="B35" s="12">
        <v>10116</v>
      </c>
      <c r="C35" s="43">
        <f t="shared" si="0"/>
        <v>220</v>
      </c>
    </row>
  </sheetData>
  <mergeCells count="3">
    <mergeCell ref="B5:S5"/>
    <mergeCell ref="B6:S6"/>
    <mergeCell ref="B7:S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Anirudh Sharma</cp:lastModifiedBy>
  <dcterms:created xsi:type="dcterms:W3CDTF">2015-02-10T17:33:11Z</dcterms:created>
  <dcterms:modified xsi:type="dcterms:W3CDTF">2024-10-22T06:57:17Z</dcterms:modified>
</cp:coreProperties>
</file>